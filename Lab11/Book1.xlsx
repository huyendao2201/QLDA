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82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<sst xmlns="http://schemas.openxmlformats.org/spreadsheetml/2006/main" count="45" uniqueCount="33">
  <si>
    <t>Discount rate</t>
  </si>
  <si>
    <t>YEAR 1</t>
  </si>
  <si>
    <t>YEAR 2</t>
  </si>
  <si>
    <t>YEAR 3</t>
  </si>
  <si>
    <t>YEAR 4</t>
  </si>
  <si>
    <t>YEAR 5</t>
  </si>
  <si>
    <t>TOTAL</t>
  </si>
  <si>
    <t>Benefits ($)</t>
  </si>
  <si>
    <t>Cost ($)</t>
  </si>
  <si>
    <t>Cash flow ($)</t>
  </si>
  <si>
    <t>NPV (10%)</t>
  </si>
  <si>
    <t>Mục</t>
  </si>
  <si>
    <t>Tổng cộng</t>
  </si>
  <si>
    <t>Chi phí (Cost)</t>
  </si>
  <si>
    <t>Hệ số chiết khấu (Discount factor)</t>
  </si>
  <si>
    <t>Chi phí chiết khấu (Discounted Cost)</t>
  </si>
  <si>
    <t>Lợi ích (Benefits)</t>
  </si>
  <si>
    <t>Lợi ích chiết khấu (Discounted Benefits)</t>
  </si>
  <si>
    <t>Lợi ích ròng chiết khấu (Discounted benefits − cost)</t>
  </si>
  <si>
    <t>ROI</t>
  </si>
  <si>
    <t>Year</t>
  </si>
  <si>
    <t>Costs</t>
  </si>
  <si>
    <t>Benefits</t>
  </si>
  <si>
    <t>Cum Costs</t>
  </si>
  <si>
    <t>Cum Benefits</t>
  </si>
  <si>
    <t>Net mỗi năm</t>
  </si>
  <si>
    <t>Cumulative net</t>
  </si>
  <si>
    <t>Payback</t>
  </si>
  <si>
    <t>BCWS</t>
  </si>
  <si>
    <t>BCWP</t>
  </si>
  <si>
    <t>ACWP</t>
  </si>
  <si>
    <t>BAC</t>
  </si>
  <si>
    <t>PlannedDuration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</si>
</sst>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$&quot;#,##0.00_);[Red]\(&quot;$&quot;#,##0.00\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3" fontId="0" fillId="0" borderId="0" xfId="0" applyNumberFormat="1"/>
    <xf numFmtId="9" fontId="0" fillId="0" borderId="0" xfId="0" applyNumberFormat="1"/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opLeftCell="A13" workbookViewId="0">
      <selection activeCell="E28" sqref="E28"/>
    </sheetView>
  </sheetViews>
  <sheetFormatPr defaultColWidth="9" defaultRowHeight="16.8" outlineLevelCol="6"/>
  <cols>
    <col min="1" max="1" width="11.890625" customWidth="1"/>
    <col min="7" max="7" width="9.5546875" customWidth="1"/>
  </cols>
  <sheetData>
    <row r="1" spans="1:2">
      <c r="A1" t="s">
        <v>0</v>
      </c>
      <c r="B1" s="7">
        <v>0.1</v>
      </c>
    </row>
    <row r="2" ht="17" spans="1:7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ht="17" spans="1:7">
      <c r="A3" s="8" t="s">
        <v>7</v>
      </c>
      <c r="B3" s="11">
        <v>0</v>
      </c>
      <c r="C3" s="12">
        <v>2000</v>
      </c>
      <c r="D3" s="12">
        <v>3000</v>
      </c>
      <c r="E3" s="12">
        <v>4000</v>
      </c>
      <c r="F3" s="12">
        <v>5000</v>
      </c>
      <c r="G3" s="12">
        <f>SUM(B3:F3)</f>
        <v>14000</v>
      </c>
    </row>
    <row r="4" ht="17" spans="1:7">
      <c r="A4" s="8" t="s">
        <v>8</v>
      </c>
      <c r="B4" s="12">
        <v>5000</v>
      </c>
      <c r="C4" s="12">
        <v>1000</v>
      </c>
      <c r="D4" s="12">
        <v>1000</v>
      </c>
      <c r="E4" s="12">
        <v>1000</v>
      </c>
      <c r="F4" s="12">
        <v>1000</v>
      </c>
      <c r="G4" s="12">
        <f t="shared" ref="G4:G5" si="0">SUM(B4:F4)</f>
        <v>9000</v>
      </c>
    </row>
    <row r="5" ht="17" spans="1:7">
      <c r="A5" s="8" t="s">
        <v>9</v>
      </c>
      <c r="B5" s="12">
        <v>-5000</v>
      </c>
      <c r="C5" s="12">
        <v>1000</v>
      </c>
      <c r="D5" s="12">
        <v>2000</v>
      </c>
      <c r="E5" s="12">
        <v>3000</v>
      </c>
      <c r="F5" s="12">
        <v>4000</v>
      </c>
      <c r="G5" s="12">
        <f t="shared" si="0"/>
        <v>5000</v>
      </c>
    </row>
    <row r="6" ht="17" spans="1:7">
      <c r="A6" s="8" t="s">
        <v>10</v>
      </c>
      <c r="B6" s="11"/>
      <c r="C6" s="11"/>
      <c r="D6" s="11"/>
      <c r="E6" s="11"/>
      <c r="F6" s="11"/>
      <c r="G6" s="13">
        <f>NPV($B$1,B5:F5)</f>
        <v>2316.34699567218</v>
      </c>
    </row>
    <row r="9" ht="17" spans="1:7">
      <c r="A9" s="1"/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</row>
    <row r="10" ht="17" spans="1:7">
      <c r="A10" s="8" t="s">
        <v>7</v>
      </c>
      <c r="B10" s="12">
        <v>1000</v>
      </c>
      <c r="C10" s="12">
        <v>2000</v>
      </c>
      <c r="D10" s="12">
        <v>4000</v>
      </c>
      <c r="E10" s="12">
        <v>4000</v>
      </c>
      <c r="F10" s="12">
        <v>4000</v>
      </c>
      <c r="G10" s="12">
        <f>SUM(B10:F10)</f>
        <v>15000</v>
      </c>
    </row>
    <row r="11" ht="17" spans="1:7">
      <c r="A11" s="8" t="s">
        <v>8</v>
      </c>
      <c r="B11" s="12">
        <v>2000</v>
      </c>
      <c r="C11" s="12">
        <v>2000</v>
      </c>
      <c r="D11" s="12">
        <v>2000</v>
      </c>
      <c r="E11" s="12">
        <v>2000</v>
      </c>
      <c r="F11" s="12">
        <v>2000</v>
      </c>
      <c r="G11" s="12">
        <f t="shared" ref="G11:G12" si="1">SUM(B11:F11)</f>
        <v>10000</v>
      </c>
    </row>
    <row r="12" ht="17" spans="1:7">
      <c r="A12" s="8" t="s">
        <v>9</v>
      </c>
      <c r="B12" s="12">
        <v>-1000</v>
      </c>
      <c r="C12" s="11">
        <v>0</v>
      </c>
      <c r="D12" s="12">
        <v>2000</v>
      </c>
      <c r="E12" s="12">
        <v>2000</v>
      </c>
      <c r="F12" s="12">
        <v>2000</v>
      </c>
      <c r="G12" s="12">
        <f t="shared" si="1"/>
        <v>5000</v>
      </c>
    </row>
    <row r="13" ht="17" spans="1:7">
      <c r="A13" s="8" t="s">
        <v>10</v>
      </c>
      <c r="B13" s="11"/>
      <c r="C13" s="11"/>
      <c r="D13" s="11"/>
      <c r="E13" s="11"/>
      <c r="F13" s="11"/>
      <c r="G13" s="13">
        <f>NPV($B$1,B12:F12)</f>
        <v>3201.4082495607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H9" sqref="H9"/>
    </sheetView>
  </sheetViews>
  <sheetFormatPr defaultColWidth="9" defaultRowHeight="16.8" outlineLevelCol="5"/>
  <cols>
    <col min="1" max="1" width="18.890625" customWidth="1"/>
    <col min="6" max="6" width="25.3359375" customWidth="1"/>
  </cols>
  <sheetData>
    <row r="1" spans="1:2">
      <c r="A1" t="s">
        <v>0</v>
      </c>
      <c r="B1" s="7">
        <v>0.08</v>
      </c>
    </row>
    <row r="2" ht="17" spans="1:6">
      <c r="A2" s="1" t="s">
        <v>11</v>
      </c>
      <c r="B2" s="1">
        <v>0</v>
      </c>
      <c r="C2" s="1">
        <v>1</v>
      </c>
      <c r="D2" s="1">
        <v>2</v>
      </c>
      <c r="E2" s="1">
        <v>3</v>
      </c>
      <c r="F2" s="1" t="s">
        <v>12</v>
      </c>
    </row>
    <row r="3" ht="17" spans="1:6">
      <c r="A3" s="8" t="s">
        <v>13</v>
      </c>
      <c r="B3" s="9">
        <v>140000</v>
      </c>
      <c r="C3" s="9">
        <v>40000</v>
      </c>
      <c r="D3" s="9">
        <v>40000</v>
      </c>
      <c r="E3" s="9">
        <v>40000</v>
      </c>
      <c r="F3" s="9">
        <f>SUM(B3:E3)</f>
        <v>260000</v>
      </c>
    </row>
    <row r="4" ht="34" spans="1:6">
      <c r="A4" s="8" t="s">
        <v>14</v>
      </c>
      <c r="B4" s="3">
        <v>1</v>
      </c>
      <c r="C4" s="3">
        <v>0.93</v>
      </c>
      <c r="D4" s="3">
        <v>0.86</v>
      </c>
      <c r="E4" s="3">
        <v>0.79</v>
      </c>
      <c r="F4" s="3"/>
    </row>
    <row r="5" ht="34" spans="1:6">
      <c r="A5" s="8" t="s">
        <v>15</v>
      </c>
      <c r="B5" s="9">
        <f>B3*B4</f>
        <v>140000</v>
      </c>
      <c r="C5" s="9">
        <f t="shared" ref="C5:E5" si="0">C3*C4</f>
        <v>37200</v>
      </c>
      <c r="D5" s="9">
        <f t="shared" si="0"/>
        <v>34400</v>
      </c>
      <c r="E5" s="9">
        <f t="shared" si="0"/>
        <v>31600</v>
      </c>
      <c r="F5" s="9">
        <f>SUM(B5:E5)</f>
        <v>243200</v>
      </c>
    </row>
    <row r="6" spans="1:6">
      <c r="A6" s="3"/>
      <c r="B6" s="3"/>
      <c r="C6" s="3"/>
      <c r="D6" s="3"/>
      <c r="E6" s="3"/>
      <c r="F6" s="3"/>
    </row>
    <row r="7" ht="17" spans="1:6">
      <c r="A7" s="8" t="s">
        <v>16</v>
      </c>
      <c r="B7" s="3">
        <v>0</v>
      </c>
      <c r="C7" s="9">
        <v>200000</v>
      </c>
      <c r="D7" s="9">
        <v>200000</v>
      </c>
      <c r="E7" s="9">
        <v>200000</v>
      </c>
      <c r="F7" s="9">
        <f>SUM(B7:E7)</f>
        <v>600000</v>
      </c>
    </row>
    <row r="8" ht="34" spans="1:6">
      <c r="A8" s="8" t="s">
        <v>14</v>
      </c>
      <c r="B8" s="3">
        <v>1</v>
      </c>
      <c r="C8" s="3">
        <v>0.93</v>
      </c>
      <c r="D8" s="3">
        <v>0.86</v>
      </c>
      <c r="E8" s="3">
        <v>0.79</v>
      </c>
      <c r="F8" s="3"/>
    </row>
    <row r="9" ht="34" spans="1:6">
      <c r="A9" s="8" t="s">
        <v>17</v>
      </c>
      <c r="B9" s="3">
        <f>B7*B8</f>
        <v>0</v>
      </c>
      <c r="C9" s="3">
        <f t="shared" ref="C9:E9" si="1">C7*C8</f>
        <v>186000</v>
      </c>
      <c r="D9" s="3">
        <f t="shared" si="1"/>
        <v>172000</v>
      </c>
      <c r="E9" s="3">
        <f t="shared" si="1"/>
        <v>158000</v>
      </c>
      <c r="F9" s="9">
        <f>SUM(B9:E9)</f>
        <v>516000</v>
      </c>
    </row>
    <row r="10" spans="1:6">
      <c r="A10" s="3"/>
      <c r="B10" s="3"/>
      <c r="C10" s="3"/>
      <c r="D10" s="3"/>
      <c r="E10" s="3"/>
      <c r="F10" s="3"/>
    </row>
    <row r="11" ht="51" spans="1:6">
      <c r="A11" s="8" t="s">
        <v>18</v>
      </c>
      <c r="B11" s="3"/>
      <c r="C11" s="3"/>
      <c r="D11" s="3"/>
      <c r="E11" s="3"/>
      <c r="F11" s="9">
        <f>F9-F5</f>
        <v>272800</v>
      </c>
    </row>
    <row r="12" ht="17" spans="1:6">
      <c r="A12" s="8" t="s">
        <v>19</v>
      </c>
      <c r="B12" s="3"/>
      <c r="C12" s="3"/>
      <c r="D12" s="3"/>
      <c r="E12" s="3"/>
      <c r="F12" s="10">
        <f>F11/F5</f>
        <v>1.12171052631579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N6" sqref="N6"/>
    </sheetView>
  </sheetViews>
  <sheetFormatPr defaultColWidth="9" defaultRowHeight="16.8" outlineLevelRow="5" outlineLevelCol="7"/>
  <sheetData>
    <row r="1" ht="34" spans="1:8">
      <c r="A1" s="1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/>
    </row>
    <row r="2" spans="1:7">
      <c r="A2" s="3">
        <v>0</v>
      </c>
      <c r="B2" s="4">
        <v>140000</v>
      </c>
      <c r="C2" s="5">
        <v>0</v>
      </c>
      <c r="D2" s="4">
        <f>B2</f>
        <v>140000</v>
      </c>
      <c r="E2" s="5">
        <f>C2</f>
        <v>0</v>
      </c>
      <c r="F2" s="6">
        <f>C2-B2</f>
        <v>-140000</v>
      </c>
      <c r="G2" s="6">
        <f>F2</f>
        <v>-140000</v>
      </c>
    </row>
    <row r="3" spans="1:7">
      <c r="A3" s="3">
        <v>1</v>
      </c>
      <c r="B3" s="4">
        <v>37200</v>
      </c>
      <c r="C3" s="4">
        <v>186000</v>
      </c>
      <c r="D3" s="4">
        <f>D2+B3</f>
        <v>177200</v>
      </c>
      <c r="E3" s="4">
        <f>E2+C3</f>
        <v>186000</v>
      </c>
      <c r="F3" s="6">
        <f t="shared" ref="F3:F5" si="0">C3-B3</f>
        <v>148800</v>
      </c>
      <c r="G3" s="6">
        <f>G2+F3</f>
        <v>8800</v>
      </c>
    </row>
    <row r="4" spans="1:7">
      <c r="A4" s="3">
        <v>2</v>
      </c>
      <c r="B4" s="4">
        <v>34400</v>
      </c>
      <c r="C4" s="4">
        <v>172000</v>
      </c>
      <c r="D4" s="4">
        <f t="shared" ref="D4:D5" si="1">D3+B4</f>
        <v>211600</v>
      </c>
      <c r="E4" s="4">
        <f t="shared" ref="E4:E5" si="2">E3+C4</f>
        <v>358000</v>
      </c>
      <c r="F4" s="6">
        <f t="shared" si="0"/>
        <v>137600</v>
      </c>
      <c r="G4" s="6">
        <f t="shared" ref="G4:G5" si="3">G3+F4</f>
        <v>146400</v>
      </c>
    </row>
    <row r="5" spans="1:7">
      <c r="A5" s="3">
        <v>3</v>
      </c>
      <c r="B5" s="4">
        <v>31600</v>
      </c>
      <c r="C5" s="4">
        <v>158000</v>
      </c>
      <c r="D5" s="4">
        <f t="shared" si="1"/>
        <v>243200</v>
      </c>
      <c r="E5" s="4">
        <f t="shared" si="2"/>
        <v>516000</v>
      </c>
      <c r="F5" s="6">
        <f t="shared" si="0"/>
        <v>126400</v>
      </c>
      <c r="G5" s="6">
        <f t="shared" si="3"/>
        <v>272800</v>
      </c>
    </row>
    <row r="6" spans="1:8">
      <c r="A6" t="s">
        <v>27</v>
      </c>
      <c r="H6" cm="1">
        <f t="array" ref="H6">INDEX(A2:A5,MATCH(TRUE,E2:E5&gt;=D2:D5,0))-1+(INDEX(D2:D5,MATCH(TRUE,E2:E5&gt;=D2:D5,0)-1)-INDEX(E2:E5,MATCH(TRUE,E2:E5&gt;=D2:D5,0)-1))/(INDEX(E2:E5,MATCH(TRUE,E2:E5&gt;=D2:D5,0))-INDEX(E2:E5,MATCH(TRUE,E2:E5&gt;=D2:D5,0)-1))</f>
        <v>0.752688172043011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6"/>
  <sheetViews>
    <sheetView tabSelected="1" workbookViewId="0">
      <selection activeCell="J18" sqref="J18"/>
    </sheetView>
  </sheetViews>
  <sheetFormatPr defaultColWidth="9" defaultRowHeight="16.8" outlineLevelRow="5" outlineLevelCol="1"/>
  <cols>
    <col min="1" max="1" width="14.6640625" customWidth="1"/>
  </cols>
  <sheetData>
    <row r="2" spans="1:2">
      <c r="A2" t="s">
        <v>28</v>
      </c>
      <c r="B2">
        <v>23000</v>
      </c>
    </row>
    <row r="3" spans="1:2">
      <c r="A3" t="s">
        <v>29</v>
      </c>
      <c r="B3">
        <v>20000</v>
      </c>
    </row>
    <row r="4" spans="1:2">
      <c r="A4" t="s">
        <v>30</v>
      </c>
      <c r="B4">
        <v>25000</v>
      </c>
    </row>
    <row r="5" spans="1:2">
      <c r="A5" t="s">
        <v>31</v>
      </c>
      <c r="B5">
        <v>120000</v>
      </c>
    </row>
    <row r="6" spans="1:2">
      <c r="A6" t="s">
        <v>32</v>
      </c>
      <c r="B6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Nguyen Khanh Ngoc</dc:creator>
  <cp:lastModifiedBy>Huyền Đào Thị Thu</cp:lastModifiedBy>
  <dcterms:created xsi:type="dcterms:W3CDTF">2025-11-10T17:02:00Z</dcterms:created>
  <dcterms:modified xsi:type="dcterms:W3CDTF">2025-11-10T17:18:00Z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EBEAE1EB6C46F57DD8BB1169CBFFE927_43</vt:lpwstr>
  </property>
  <property fmtid="{D5CDD505-2E9C-101B-9397-08002B2CF9AE}" pid="3" name="KSOProductBuildVer">
    <vt:lpwstr>1033-12.1.23135.23135</vt:lpwstr>
  </property>
</Properties>
</file>